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titão\Documents\projetos que eu fiz\Cardapio\"/>
    </mc:Choice>
  </mc:AlternateContent>
  <xr:revisionPtr revIDLastSave="0" documentId="13_ncr:1_{B4FBD840-4BFD-4141-8BFF-EAE5B2558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de Preços" sheetId="1" r:id="rId1"/>
    <sheet name="Detalhes dos Pacotes" sheetId="2" r:id="rId2"/>
  </sheets>
  <definedNames>
    <definedName name="_xlnm.Print_Area" localSheetId="0">'Tabela de Preços'!$A$1:$G$33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10" i="2" s="1"/>
  <c r="E6" i="2"/>
  <c r="E5" i="2"/>
  <c r="F24" i="1"/>
  <c r="E24" i="1"/>
  <c r="D24" i="1"/>
  <c r="C24" i="1"/>
  <c r="F23" i="1"/>
  <c r="E23" i="1"/>
  <c r="D23" i="1"/>
  <c r="C23" i="1"/>
  <c r="F9" i="1"/>
  <c r="E9" i="1"/>
  <c r="D9" i="1"/>
  <c r="E9" i="2" l="1"/>
</calcChain>
</file>

<file path=xl/sharedStrings.xml><?xml version="1.0" encoding="utf-8"?>
<sst xmlns="http://schemas.openxmlformats.org/spreadsheetml/2006/main" count="96" uniqueCount="53">
  <si>
    <t>TABELA DE PREÇOS</t>
  </si>
  <si>
    <t>Pacotes de serviço  ·  Instagram, site, catálogos e aplicativo</t>
  </si>
  <si>
    <t>MAIS COMPLETO</t>
  </si>
  <si>
    <t>PACOTE 1</t>
  </si>
  <si>
    <t>PACOTE 2</t>
  </si>
  <si>
    <t>PACOTE 3</t>
  </si>
  <si>
    <t>PACOTE 4</t>
  </si>
  <si>
    <t>Valor do pacote</t>
  </si>
  <si>
    <t>Só Instagram</t>
  </si>
  <si>
    <t>Site + segurança</t>
  </si>
  <si>
    <t>Site + link WhatsApp</t>
  </si>
  <si>
    <t>Tudo + catálogos e app</t>
  </si>
  <si>
    <t>—</t>
  </si>
  <si>
    <t>O QUE ESTÁ INCLUÍDO EM CADA PACOTE</t>
  </si>
  <si>
    <t>Instagram com as fotos</t>
  </si>
  <si>
    <t>✔</t>
  </si>
  <si>
    <t>Site com atualizações</t>
  </si>
  <si>
    <t>ADM separado e melhorado</t>
  </si>
  <si>
    <t>Melhoria de segurança</t>
  </si>
  <si>
    <t>Acesso total — todas as contas passam a ser suas, sem o cliente ter acesso</t>
  </si>
  <si>
    <t>Banco e todas as contas criadas ficam no seu nome</t>
  </si>
  <si>
    <t>Link personalizado com WhatsApp</t>
  </si>
  <si>
    <t>Site da loja</t>
  </si>
  <si>
    <t>Catálogos separados dentro do link, o cliente vê tudo por categoria</t>
  </si>
  <si>
    <t>Aplicativo para os funcionários enviarem catálogos, site ou fotos</t>
  </si>
  <si>
    <t>ADM integrado com o site e com todos os catálogos</t>
  </si>
  <si>
    <t>Total de itens inclusos</t>
  </si>
  <si>
    <t>VALOR</t>
  </si>
  <si>
    <t>OBSERVAÇÕES</t>
  </si>
  <si>
    <t>•   O ADM atualizado é integrado com o site e com todos os catálogos, trazendo mais praticidade e diminuindo a perda de tempo.</t>
  </si>
  <si>
    <t>•   Ao adicionar um cômodo, ele é enviado automaticamente para todos os catálogos, mantendo a organização.</t>
  </si>
  <si>
    <t>•   Tudo o que estiver no site aparece no catálogo e tudo o que estiver no catálogo aparece no site.</t>
  </si>
  <si>
    <t>•   A partir do Pacote 2 todas as contas criadas passam a ser suas, sem o cliente ter acesso, e o banco fica no seu nome.</t>
  </si>
  <si>
    <t>Legenda: os preços (em azul, linha 7) são as únicas células para editar — total de itens, diferença entre pacotes e a linha VALOR se atualizam sozinhos. Valores definidos por você.</t>
  </si>
  <si>
    <t>DETALHES DOS PACOTES</t>
  </si>
  <si>
    <t>Pacote</t>
  </si>
  <si>
    <t>Nome</t>
  </si>
  <si>
    <t>O que está incluso</t>
  </si>
  <si>
    <t>Valor</t>
  </si>
  <si>
    <t>1</t>
  </si>
  <si>
    <t>Instagram</t>
  </si>
  <si>
    <t>Instagram com as fotos.</t>
  </si>
  <si>
    <t>2</t>
  </si>
  <si>
    <t>Instagram + Site</t>
  </si>
  <si>
    <t>Tudo do Pacote 1, mais:
•  Site com atualizações
•  ADM separado e melhorado
•  Melhoria de segurança
•  Acesso total: todas as contas passam a ser suas, sem o cliente ter acesso
•  Banco e todas as contas criadas ficam no seu nome</t>
  </si>
  <si>
    <t>3</t>
  </si>
  <si>
    <t>Instagram + Site + Link</t>
  </si>
  <si>
    <t>Tudo do Pacote 2, mais:
•  Link personalizado com WhatsApp
•  Site da loja</t>
  </si>
  <si>
    <t>4</t>
  </si>
  <si>
    <t>Completo — Catálogos + App</t>
  </si>
  <si>
    <t>Tudo do Pacote 3, mais:
•  Catálogos separados dentro do link personalizado, para o cliente ver tudo por categoria
•  Aplicativo para os funcionários enviarem os catálogos, o site ou fotos separadas com facilidade
•  ADM integrado com o site e com todos os catálogos</t>
  </si>
  <si>
    <t>Menor valor da tabela</t>
  </si>
  <si>
    <t>Maior valor da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</si>
</sst>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5" formatCode="&quot;+ &quot;\R\$\ #,##0&quot; vs anterior&quot;;;&quot;—&quot;"/>
  </numFmts>
  <fonts count="30" x14ac:knownFonts="1">
    <font>
      <sz val="11"/>
      <color theme="1"/>
      <name val="Calibri"/>
      <family val="2"/>
      <scheme val="minor"/>
    </font>
    <font>
      <b/>
      <sz val="22"/>
      <color rgb="FF0F1B2B"/>
      <name val="Arial"/>
    </font>
    <font>
      <sz val="11"/>
      <color rgb="FF6B7A8F"/>
      <name val="Arial"/>
    </font>
    <font>
      <b/>
      <sz val="12"/>
      <color rgb="FFFFFFFF"/>
      <name val="Arial"/>
    </font>
    <font>
      <b/>
      <sz val="24"/>
      <color rgb="FF0000FF"/>
      <name val="Arial"/>
    </font>
    <font>
      <sz val="9"/>
      <color rgb="FF6B7A8F"/>
      <name val="Arial"/>
    </font>
    <font>
      <i/>
      <sz val="8"/>
      <color rgb="FF6B7A8F"/>
      <name val="Arial"/>
    </font>
    <font>
      <b/>
      <sz val="8"/>
      <color rgb="FFB7791F"/>
      <name val="Arial"/>
    </font>
    <font>
      <b/>
      <sz val="12"/>
      <color rgb="FF0F1B2B"/>
      <name val="Arial"/>
    </font>
    <font>
      <b/>
      <sz val="10"/>
      <color rgb="FFFFFFFF"/>
      <name val="Arial"/>
    </font>
    <font>
      <sz val="10"/>
      <color rgb="FF0F1B2B"/>
      <name val="Arial"/>
    </font>
    <font>
      <b/>
      <sz val="12"/>
      <color rgb="FF64748B"/>
      <name val="Arial"/>
    </font>
    <font>
      <b/>
      <sz val="12"/>
      <color rgb="FF2563EB"/>
      <name val="Arial"/>
    </font>
    <font>
      <b/>
      <sz val="12"/>
      <color rgb="FF1E3A8A"/>
      <name val="Arial"/>
    </font>
    <font>
      <b/>
      <sz val="12"/>
      <color rgb="FF0F766E"/>
      <name val="Arial"/>
    </font>
    <font>
      <sz val="10"/>
      <color rgb="FFC3CBD6"/>
      <name val="Arial"/>
    </font>
    <font>
      <b/>
      <sz val="10"/>
      <color rgb="FF0F1B2B"/>
      <name val="Arial"/>
    </font>
    <font>
      <b/>
      <sz val="11"/>
      <color rgb="FF64748B"/>
      <name val="Arial"/>
    </font>
    <font>
      <b/>
      <sz val="11"/>
      <color rgb="FF2563EB"/>
      <name val="Arial"/>
    </font>
    <font>
      <b/>
      <sz val="11"/>
      <color rgb="FF1E3A8A"/>
      <name val="Arial"/>
    </font>
    <font>
      <b/>
      <sz val="11"/>
      <color rgb="FF0F766E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B7791F"/>
      <name val="Arial"/>
    </font>
    <font>
      <sz val="9.5"/>
      <color rgb="FF6B7A8F"/>
      <name val="Arial"/>
    </font>
    <font>
      <i/>
      <sz val="8.5"/>
      <color rgb="FF9AA7B5"/>
      <name val="Arial"/>
    </font>
    <font>
      <b/>
      <sz val="18"/>
      <color rgb="FF0F1B2B"/>
      <name val="Arial"/>
    </font>
    <font>
      <b/>
      <sz val="14"/>
      <color rgb="FFFFFFFF"/>
      <name val="Arial"/>
    </font>
    <font>
      <b/>
      <sz val="14"/>
      <color rgb="FF008000"/>
      <name val="Arial"/>
    </font>
    <font>
      <b/>
      <sz val="11"/>
      <color rgb="FF0F1B2B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4748B"/>
      </patternFill>
    </fill>
    <fill>
      <patternFill patternType="solid">
        <fgColor rgb="FFEEF1F5"/>
      </patternFill>
    </fill>
    <fill>
      <patternFill patternType="solid">
        <fgColor rgb="FF2563EB"/>
      </patternFill>
    </fill>
    <fill>
      <patternFill patternType="solid">
        <fgColor rgb="FFE8F0FE"/>
      </patternFill>
    </fill>
    <fill>
      <patternFill patternType="solid">
        <fgColor rgb="FF1E3A8A"/>
      </patternFill>
    </fill>
    <fill>
      <patternFill patternType="solid">
        <fgColor rgb="FFE6EAF6"/>
      </patternFill>
    </fill>
    <fill>
      <patternFill patternType="solid">
        <fgColor rgb="FFFDF3DC"/>
      </patternFill>
    </fill>
    <fill>
      <patternFill patternType="solid">
        <fgColor rgb="FF0F766E"/>
      </patternFill>
    </fill>
    <fill>
      <patternFill patternType="solid">
        <fgColor rgb="FFE2F2F0"/>
      </patternFill>
    </fill>
    <fill>
      <patternFill patternType="solid">
        <fgColor rgb="FF0F1B2B"/>
      </patternFill>
    </fill>
    <fill>
      <patternFill patternType="solid">
        <fgColor rgb="FFF6F8FB"/>
      </patternFill>
    </fill>
    <fill>
      <patternFill patternType="solid">
        <fgColor rgb="FFEDF1F6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CE3EC"/>
      </bottom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/>
      <diagonal/>
    </border>
    <border>
      <left style="medium">
        <color rgb="FF64748B"/>
      </left>
      <right style="medium">
        <color rgb="FF64748B"/>
      </right>
      <top/>
      <bottom/>
      <diagonal/>
    </border>
    <border>
      <left style="medium">
        <color rgb="FF64748B"/>
      </left>
      <right style="medium">
        <color rgb="FF64748B"/>
      </right>
      <top/>
      <bottom style="thin">
        <color rgb="FFDCE3EC"/>
      </bottom>
      <diagonal/>
    </border>
    <border>
      <left style="medium">
        <color rgb="FF64748B"/>
      </left>
      <right style="medium">
        <color rgb="FF64748B"/>
      </right>
      <top/>
      <bottom style="medium">
        <color rgb="FF64748B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/>
      <diagonal/>
    </border>
    <border>
      <left style="medium">
        <color rgb="FF2563EB"/>
      </left>
      <right style="medium">
        <color rgb="FF2563EB"/>
      </right>
      <top/>
      <bottom/>
      <diagonal/>
    </border>
    <border>
      <left style="medium">
        <color rgb="FF2563EB"/>
      </left>
      <right style="medium">
        <color rgb="FF2563EB"/>
      </right>
      <top/>
      <bottom style="thin">
        <color rgb="FFDCE3EC"/>
      </bottom>
      <diagonal/>
    </border>
    <border>
      <left style="medium">
        <color rgb="FF2563EB"/>
      </left>
      <right style="medium">
        <color rgb="FF2563EB"/>
      </right>
      <top/>
      <bottom style="medium">
        <color rgb="FF2563EB"/>
      </bottom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/>
      <diagonal/>
    </border>
    <border>
      <left style="medium">
        <color rgb="FF1E3A8A"/>
      </left>
      <right style="medium">
        <color rgb="FF1E3A8A"/>
      </right>
      <top/>
      <bottom/>
      <diagonal/>
    </border>
    <border>
      <left style="medium">
        <color rgb="FF1E3A8A"/>
      </left>
      <right style="medium">
        <color rgb="FF1E3A8A"/>
      </right>
      <top/>
      <bottom style="thin">
        <color rgb="FFDCE3EC"/>
      </bottom>
      <diagonal/>
    </border>
    <border>
      <left style="medium">
        <color rgb="FF1E3A8A"/>
      </left>
      <right style="medium">
        <color rgb="FF1E3A8A"/>
      </right>
      <top/>
      <bottom style="medium">
        <color rgb="FF1E3A8A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/>
      <diagonal/>
    </border>
    <border>
      <left style="medium">
        <color rgb="FF0F766E"/>
      </left>
      <right style="medium">
        <color rgb="FF0F766E"/>
      </right>
      <top/>
      <bottom/>
      <diagonal/>
    </border>
    <border>
      <left style="medium">
        <color rgb="FF0F766E"/>
      </left>
      <right style="medium">
        <color rgb="FF0F766E"/>
      </right>
      <top/>
      <bottom style="thin">
        <color rgb="FFDCE3EC"/>
      </bottom>
      <diagonal/>
    </border>
    <border>
      <left style="medium">
        <color rgb="FF0F766E"/>
      </left>
      <right style="medium">
        <color rgb="FF0F766E"/>
      </right>
      <top/>
      <bottom style="medium">
        <color rgb="FF0F766E"/>
      </bottom>
      <diagonal/>
    </border>
    <border>
      <left/>
      <right/>
      <top/>
      <bottom style="thin">
        <color rgb="FFDCE3E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4" fillId="8" borderId="11" xfId="0" applyNumberFormat="1" applyFont="1" applyFill="1" applyBorder="1" applyAlignment="1">
      <alignment horizontal="center" vertical="center"/>
    </xf>
    <xf numFmtId="164" fontId="4" fillId="11" borderId="15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15" xfId="0" applyFill="1" applyBorder="1"/>
    <xf numFmtId="0" fontId="9" fillId="12" borderId="0" xfId="0" applyFont="1" applyFill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wrapText="1" indent="1"/>
    </xf>
    <xf numFmtId="0" fontId="11" fillId="4" borderId="4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 indent="1"/>
    </xf>
    <xf numFmtId="0" fontId="15" fillId="13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17" fillId="14" borderId="3" xfId="0" applyFont="1" applyFill="1" applyBorder="1" applyAlignment="1">
      <alignment horizontal="center" vertical="center"/>
    </xf>
    <xf numFmtId="0" fontId="18" fillId="14" borderId="7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0" fontId="20" fillId="14" borderId="15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left" vertical="center" indent="1"/>
    </xf>
    <xf numFmtId="164" fontId="22" fillId="3" borderId="5" xfId="0" applyNumberFormat="1" applyFont="1" applyFill="1" applyBorder="1" applyAlignment="1">
      <alignment horizontal="center" vertical="center"/>
    </xf>
    <xf numFmtId="164" fontId="22" fillId="5" borderId="9" xfId="0" applyNumberFormat="1" applyFont="1" applyFill="1" applyBorder="1" applyAlignment="1">
      <alignment horizontal="center" vertical="center"/>
    </xf>
    <xf numFmtId="164" fontId="22" fillId="7" borderId="13" xfId="0" applyNumberFormat="1" applyFont="1" applyFill="1" applyBorder="1" applyAlignment="1">
      <alignment horizontal="center" vertical="center"/>
    </xf>
    <xf numFmtId="164" fontId="22" fillId="10" borderId="17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left" vertical="center" wrapText="1" indent="1"/>
    </xf>
    <xf numFmtId="0" fontId="10" fillId="2" borderId="18" xfId="0" applyFont="1" applyFill="1" applyBorder="1" applyAlignment="1">
      <alignment horizontal="left" vertical="center" wrapText="1" indent="1"/>
    </xf>
    <xf numFmtId="164" fontId="28" fillId="4" borderId="18" xfId="0" applyNumberFormat="1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left" vertical="center" wrapText="1" indent="1"/>
    </xf>
    <xf numFmtId="164" fontId="28" fillId="6" borderId="18" xfId="0" applyNumberFormat="1" applyFont="1" applyFill="1" applyBorder="1" applyAlignment="1">
      <alignment horizontal="center" vertical="center"/>
    </xf>
    <xf numFmtId="0" fontId="27" fillId="7" borderId="18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left" vertical="center" wrapText="1" indent="1"/>
    </xf>
    <xf numFmtId="164" fontId="28" fillId="8" borderId="18" xfId="0" applyNumberFormat="1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left" vertical="center" wrapText="1" indent="1"/>
    </xf>
    <xf numFmtId="164" fontId="28" fillId="11" borderId="1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164" fontId="2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 indent="1"/>
    </xf>
    <xf numFmtId="0" fontId="0" fillId="12" borderId="3" xfId="0" applyFill="1" applyBorder="1"/>
    <xf numFmtId="0" fontId="0" fillId="12" borderId="7" xfId="0" applyFill="1" applyBorder="1"/>
    <xf numFmtId="0" fontId="0" fillId="12" borderId="11" xfId="0" applyFill="1" applyBorder="1"/>
    <xf numFmtId="0" fontId="0" fillId="12" borderId="15" xfId="0" applyFill="1" applyBorder="1"/>
    <xf numFmtId="0" fontId="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 wrapText="1" indent="1"/>
    </xf>
    <xf numFmtId="0" fontId="23" fillId="9" borderId="0" xfId="0" applyFont="1" applyFill="1" applyAlignment="1">
      <alignment horizontal="left" vertical="center" indent="1"/>
    </xf>
    <xf numFmtId="0" fontId="0" fillId="9" borderId="0" xfId="0" applyFill="1"/>
    <xf numFmtId="0" fontId="2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.42578125" customWidth="1"/>
    <col min="2" max="2" width="56" customWidth="1"/>
    <col min="3" max="6" width="19" customWidth="1"/>
    <col min="7" max="7" width="2.42578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33.950000000000003" customHeight="1" x14ac:dyDescent="0.25">
      <c r="A2" s="1"/>
      <c r="B2" s="66" t="s">
        <v>0</v>
      </c>
      <c r="C2" s="65"/>
      <c r="D2" s="65"/>
      <c r="E2" s="65"/>
      <c r="F2" s="65"/>
      <c r="G2" s="1"/>
    </row>
    <row r="3" spans="1:7" ht="20.100000000000001" customHeight="1" x14ac:dyDescent="0.25">
      <c r="A3" s="1"/>
      <c r="B3" s="72" t="s">
        <v>1</v>
      </c>
      <c r="C3" s="65"/>
      <c r="D3" s="65"/>
      <c r="E3" s="65"/>
      <c r="F3" s="65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ht="18" customHeight="1" x14ac:dyDescent="0.25">
      <c r="A5" s="1"/>
      <c r="B5" s="1"/>
      <c r="C5" s="2"/>
      <c r="D5" s="2"/>
      <c r="E5" s="2"/>
      <c r="F5" s="3" t="s">
        <v>2</v>
      </c>
      <c r="G5" s="1"/>
    </row>
    <row r="6" spans="1:7" ht="26.1" customHeight="1" x14ac:dyDescent="0.25">
      <c r="A6" s="1"/>
      <c r="B6" s="1"/>
      <c r="C6" s="4" t="s">
        <v>3</v>
      </c>
      <c r="D6" s="5" t="s">
        <v>4</v>
      </c>
      <c r="E6" s="6" t="s">
        <v>5</v>
      </c>
      <c r="F6" s="7" t="s">
        <v>6</v>
      </c>
      <c r="G6" s="1"/>
    </row>
    <row r="7" spans="1:7" ht="39.950000000000003" customHeight="1" x14ac:dyDescent="0.25">
      <c r="A7" s="1"/>
      <c r="B7" s="8" t="s">
        <v>7</v>
      </c>
      <c r="C7" s="9">
        <v>50</v>
      </c>
      <c r="D7" s="10">
        <v>250</v>
      </c>
      <c r="E7" s="11">
        <v>300</v>
      </c>
      <c r="F7" s="12">
        <v>450</v>
      </c>
      <c r="G7" s="1"/>
    </row>
    <row r="8" spans="1:7" ht="30" customHeight="1" x14ac:dyDescent="0.25">
      <c r="A8" s="1"/>
      <c r="B8" s="1"/>
      <c r="C8" s="13" t="s">
        <v>8</v>
      </c>
      <c r="D8" s="14" t="s">
        <v>9</v>
      </c>
      <c r="E8" s="15" t="s">
        <v>10</v>
      </c>
      <c r="F8" s="16" t="s">
        <v>11</v>
      </c>
      <c r="G8" s="1"/>
    </row>
    <row r="9" spans="1:7" ht="18" customHeight="1" x14ac:dyDescent="0.25">
      <c r="A9" s="1"/>
      <c r="B9" s="1"/>
      <c r="C9" s="17" t="s">
        <v>12</v>
      </c>
      <c r="D9" s="18">
        <f>D7-C7</f>
        <v>200</v>
      </c>
      <c r="E9" s="19">
        <f>E7-D7</f>
        <v>50</v>
      </c>
      <c r="F9" s="20">
        <f>F7-E7</f>
        <v>150</v>
      </c>
      <c r="G9" s="1"/>
    </row>
    <row r="10" spans="1:7" ht="8.1" customHeight="1" x14ac:dyDescent="0.25">
      <c r="A10" s="1"/>
      <c r="B10" s="1"/>
      <c r="C10" s="21"/>
      <c r="D10" s="22"/>
      <c r="E10" s="23"/>
      <c r="F10" s="24"/>
      <c r="G10" s="1"/>
    </row>
    <row r="11" spans="1:7" ht="24" customHeight="1" x14ac:dyDescent="0.25">
      <c r="A11" s="1"/>
      <c r="B11" s="67" t="s">
        <v>13</v>
      </c>
      <c r="C11" s="68"/>
      <c r="D11" s="69"/>
      <c r="E11" s="70"/>
      <c r="F11" s="71"/>
      <c r="G11" s="1"/>
    </row>
    <row r="12" spans="1:7" ht="26.1" customHeight="1" x14ac:dyDescent="0.25">
      <c r="A12" s="1"/>
      <c r="B12" s="26" t="s">
        <v>14</v>
      </c>
      <c r="C12" s="27" t="s">
        <v>15</v>
      </c>
      <c r="D12" s="28" t="s">
        <v>15</v>
      </c>
      <c r="E12" s="29" t="s">
        <v>15</v>
      </c>
      <c r="F12" s="30" t="s">
        <v>15</v>
      </c>
      <c r="G12" s="1"/>
    </row>
    <row r="13" spans="1:7" ht="26.1" customHeight="1" x14ac:dyDescent="0.25">
      <c r="A13" s="1"/>
      <c r="B13" s="31" t="s">
        <v>16</v>
      </c>
      <c r="C13" s="32" t="s">
        <v>12</v>
      </c>
      <c r="D13" s="28" t="s">
        <v>15</v>
      </c>
      <c r="E13" s="29" t="s">
        <v>15</v>
      </c>
      <c r="F13" s="30" t="s">
        <v>15</v>
      </c>
      <c r="G13" s="1"/>
    </row>
    <row r="14" spans="1:7" ht="26.1" customHeight="1" x14ac:dyDescent="0.25">
      <c r="A14" s="1"/>
      <c r="B14" s="26" t="s">
        <v>17</v>
      </c>
      <c r="C14" s="33" t="s">
        <v>12</v>
      </c>
      <c r="D14" s="28" t="s">
        <v>15</v>
      </c>
      <c r="E14" s="29" t="s">
        <v>15</v>
      </c>
      <c r="F14" s="30" t="s">
        <v>15</v>
      </c>
      <c r="G14" s="1"/>
    </row>
    <row r="15" spans="1:7" ht="26.1" customHeight="1" x14ac:dyDescent="0.25">
      <c r="A15" s="1"/>
      <c r="B15" s="31" t="s">
        <v>18</v>
      </c>
      <c r="C15" s="32" t="s">
        <v>12</v>
      </c>
      <c r="D15" s="28" t="s">
        <v>15</v>
      </c>
      <c r="E15" s="29" t="s">
        <v>15</v>
      </c>
      <c r="F15" s="30" t="s">
        <v>15</v>
      </c>
      <c r="G15" s="1"/>
    </row>
    <row r="16" spans="1:7" ht="30" customHeight="1" x14ac:dyDescent="0.25">
      <c r="A16" s="1"/>
      <c r="B16" s="26" t="s">
        <v>19</v>
      </c>
      <c r="C16" s="33" t="s">
        <v>12</v>
      </c>
      <c r="D16" s="28" t="s">
        <v>15</v>
      </c>
      <c r="E16" s="29" t="s">
        <v>15</v>
      </c>
      <c r="F16" s="30" t="s">
        <v>15</v>
      </c>
      <c r="G16" s="1"/>
    </row>
    <row r="17" spans="1:7" ht="26.1" customHeight="1" x14ac:dyDescent="0.25">
      <c r="A17" s="1"/>
      <c r="B17" s="31" t="s">
        <v>20</v>
      </c>
      <c r="C17" s="32" t="s">
        <v>12</v>
      </c>
      <c r="D17" s="28" t="s">
        <v>15</v>
      </c>
      <c r="E17" s="29" t="s">
        <v>15</v>
      </c>
      <c r="F17" s="30" t="s">
        <v>15</v>
      </c>
      <c r="G17" s="1"/>
    </row>
    <row r="18" spans="1:7" ht="26.1" customHeight="1" x14ac:dyDescent="0.25">
      <c r="A18" s="1"/>
      <c r="B18" s="26" t="s">
        <v>21</v>
      </c>
      <c r="C18" s="33" t="s">
        <v>12</v>
      </c>
      <c r="D18" s="34" t="s">
        <v>12</v>
      </c>
      <c r="E18" s="29" t="s">
        <v>15</v>
      </c>
      <c r="F18" s="30" t="s">
        <v>15</v>
      </c>
      <c r="G18" s="1"/>
    </row>
    <row r="19" spans="1:7" ht="26.1" customHeight="1" x14ac:dyDescent="0.25">
      <c r="A19" s="1"/>
      <c r="B19" s="31" t="s">
        <v>22</v>
      </c>
      <c r="C19" s="32" t="s">
        <v>12</v>
      </c>
      <c r="D19" s="35" t="s">
        <v>12</v>
      </c>
      <c r="E19" s="29" t="s">
        <v>15</v>
      </c>
      <c r="F19" s="30" t="s">
        <v>15</v>
      </c>
      <c r="G19" s="1"/>
    </row>
    <row r="20" spans="1:7" ht="30" customHeight="1" x14ac:dyDescent="0.25">
      <c r="A20" s="1"/>
      <c r="B20" s="26" t="s">
        <v>23</v>
      </c>
      <c r="C20" s="33" t="s">
        <v>12</v>
      </c>
      <c r="D20" s="34" t="s">
        <v>12</v>
      </c>
      <c r="E20" s="36" t="s">
        <v>12</v>
      </c>
      <c r="F20" s="30" t="s">
        <v>15</v>
      </c>
      <c r="G20" s="1"/>
    </row>
    <row r="21" spans="1:7" ht="30" customHeight="1" x14ac:dyDescent="0.25">
      <c r="A21" s="1"/>
      <c r="B21" s="31" t="s">
        <v>24</v>
      </c>
      <c r="C21" s="32" t="s">
        <v>12</v>
      </c>
      <c r="D21" s="35" t="s">
        <v>12</v>
      </c>
      <c r="E21" s="37" t="s">
        <v>12</v>
      </c>
      <c r="F21" s="30" t="s">
        <v>15</v>
      </c>
      <c r="G21" s="1"/>
    </row>
    <row r="22" spans="1:7" ht="26.1" customHeight="1" x14ac:dyDescent="0.25">
      <c r="A22" s="1"/>
      <c r="B22" s="26" t="s">
        <v>25</v>
      </c>
      <c r="C22" s="33" t="s">
        <v>12</v>
      </c>
      <c r="D22" s="34" t="s">
        <v>12</v>
      </c>
      <c r="E22" s="36" t="s">
        <v>12</v>
      </c>
      <c r="F22" s="30" t="s">
        <v>15</v>
      </c>
      <c r="G22" s="1"/>
    </row>
    <row r="23" spans="1:7" ht="24" customHeight="1" x14ac:dyDescent="0.25">
      <c r="A23" s="1"/>
      <c r="B23" s="38" t="s">
        <v>26</v>
      </c>
      <c r="C23" s="39">
        <f>COUNTIF(C12:C22,"✔")</f>
        <v>1</v>
      </c>
      <c r="D23" s="40">
        <f>COUNTIF(D12:D22,"✔")</f>
        <v>6</v>
      </c>
      <c r="E23" s="41">
        <f>COUNTIF(E12:E22,"✔")</f>
        <v>8</v>
      </c>
      <c r="F23" s="42">
        <f>COUNTIF(F12:F22,"✔")</f>
        <v>11</v>
      </c>
      <c r="G23" s="1"/>
    </row>
    <row r="24" spans="1:7" ht="27.95" customHeight="1" x14ac:dyDescent="0.25">
      <c r="A24" s="1"/>
      <c r="B24" s="43" t="s">
        <v>27</v>
      </c>
      <c r="C24" s="44">
        <f>C7</f>
        <v>50</v>
      </c>
      <c r="D24" s="45">
        <f>D7</f>
        <v>250</v>
      </c>
      <c r="E24" s="46">
        <f>E7</f>
        <v>300</v>
      </c>
      <c r="F24" s="47">
        <f>F7</f>
        <v>450</v>
      </c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ht="21.95" customHeight="1" x14ac:dyDescent="0.25">
      <c r="A26" s="1"/>
      <c r="B26" s="74" t="s">
        <v>28</v>
      </c>
      <c r="C26" s="75"/>
      <c r="D26" s="75"/>
      <c r="E26" s="75"/>
      <c r="F26" s="75"/>
      <c r="G26" s="1"/>
    </row>
    <row r="27" spans="1:7" ht="18" customHeight="1" x14ac:dyDescent="0.25">
      <c r="A27" s="1"/>
      <c r="B27" s="64" t="s">
        <v>29</v>
      </c>
      <c r="C27" s="65"/>
      <c r="D27" s="65"/>
      <c r="E27" s="65"/>
      <c r="F27" s="65"/>
      <c r="G27" s="1"/>
    </row>
    <row r="28" spans="1:7" ht="18" customHeight="1" x14ac:dyDescent="0.25">
      <c r="A28" s="1"/>
      <c r="B28" s="64" t="s">
        <v>30</v>
      </c>
      <c r="C28" s="65"/>
      <c r="D28" s="65"/>
      <c r="E28" s="65"/>
      <c r="F28" s="65"/>
      <c r="G28" s="1"/>
    </row>
    <row r="29" spans="1:7" ht="18" customHeight="1" x14ac:dyDescent="0.25">
      <c r="A29" s="1"/>
      <c r="B29" s="64" t="s">
        <v>31</v>
      </c>
      <c r="C29" s="65"/>
      <c r="D29" s="65"/>
      <c r="E29" s="65"/>
      <c r="F29" s="65"/>
      <c r="G29" s="1"/>
    </row>
    <row r="30" spans="1:7" ht="18" customHeight="1" x14ac:dyDescent="0.25">
      <c r="A30" s="1"/>
      <c r="B30" s="64" t="s">
        <v>32</v>
      </c>
      <c r="C30" s="65"/>
      <c r="D30" s="65"/>
      <c r="E30" s="65"/>
      <c r="F30" s="65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ht="26.1" customHeight="1" x14ac:dyDescent="0.25">
      <c r="A32" s="1"/>
      <c r="B32" s="73" t="s">
        <v>33</v>
      </c>
      <c r="C32" s="65"/>
      <c r="D32" s="65"/>
      <c r="E32" s="65"/>
      <c r="F32" s="65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</sheetData>
  <mergeCells count="9">
    <mergeCell ref="B32:F32"/>
    <mergeCell ref="B26:F26"/>
    <mergeCell ref="B27:F27"/>
    <mergeCell ref="B30:F30"/>
    <mergeCell ref="B29:F29"/>
    <mergeCell ref="B2:F2"/>
    <mergeCell ref="B11:F11"/>
    <mergeCell ref="B28:F28"/>
    <mergeCell ref="B3:F3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9"/>
  <sheetViews>
    <sheetView showGridLines="0" workbookViewId="0"/>
  </sheetViews>
  <sheetFormatPr defaultRowHeight="15" x14ac:dyDescent="0.25"/>
  <cols>
    <col min="1" max="1" width="2.42578125" customWidth="1"/>
    <col min="2" max="2" width="13" customWidth="1"/>
    <col min="3" max="3" width="26" customWidth="1"/>
    <col min="4" max="4" width="78" customWidth="1"/>
    <col min="5" max="5" width="15" customWidth="1"/>
  </cols>
  <sheetData>
    <row r="1" spans="1:5" x14ac:dyDescent="0.25">
      <c r="A1" s="1"/>
      <c r="B1" s="1"/>
      <c r="C1" s="1"/>
      <c r="D1" s="1"/>
      <c r="E1" s="1"/>
    </row>
    <row r="2" spans="1:5" ht="30" customHeight="1" x14ac:dyDescent="0.25">
      <c r="A2" s="1"/>
      <c r="B2" s="76" t="s">
        <v>34</v>
      </c>
      <c r="C2" s="65"/>
      <c r="D2" s="65"/>
      <c r="E2" s="65"/>
    </row>
    <row r="3" spans="1:5" x14ac:dyDescent="0.25">
      <c r="A3" s="1"/>
      <c r="B3" s="1"/>
      <c r="C3" s="1"/>
      <c r="D3" s="1"/>
      <c r="E3" s="1"/>
    </row>
    <row r="4" spans="1:5" ht="26.1" customHeight="1" x14ac:dyDescent="0.25">
      <c r="A4" s="1"/>
      <c r="B4" s="48" t="s">
        <v>35</v>
      </c>
      <c r="C4" s="48" t="s">
        <v>36</v>
      </c>
      <c r="D4" s="25" t="s">
        <v>37</v>
      </c>
      <c r="E4" s="48" t="s">
        <v>38</v>
      </c>
    </row>
    <row r="5" spans="1:5" ht="21.95" customHeight="1" x14ac:dyDescent="0.25">
      <c r="A5" s="1"/>
      <c r="B5" s="49" t="s">
        <v>39</v>
      </c>
      <c r="C5" s="50" t="s">
        <v>40</v>
      </c>
      <c r="D5" s="51" t="s">
        <v>41</v>
      </c>
      <c r="E5" s="52">
        <f>'Tabela de Preços'!C7</f>
        <v>50</v>
      </c>
    </row>
    <row r="6" spans="1:5" ht="92.1" customHeight="1" x14ac:dyDescent="0.25">
      <c r="A6" s="1"/>
      <c r="B6" s="53" t="s">
        <v>42</v>
      </c>
      <c r="C6" s="54" t="s">
        <v>43</v>
      </c>
      <c r="D6" s="51" t="s">
        <v>44</v>
      </c>
      <c r="E6" s="55">
        <f>'Tabela de Preços'!D7</f>
        <v>250</v>
      </c>
    </row>
    <row r="7" spans="1:5" ht="51.95" customHeight="1" x14ac:dyDescent="0.25">
      <c r="A7" s="1"/>
      <c r="B7" s="56" t="s">
        <v>45</v>
      </c>
      <c r="C7" s="57" t="s">
        <v>46</v>
      </c>
      <c r="D7" s="51" t="s">
        <v>47</v>
      </c>
      <c r="E7" s="58">
        <f>'Tabela de Preços'!E7</f>
        <v>300</v>
      </c>
    </row>
    <row r="8" spans="1:5" ht="75.95" customHeight="1" x14ac:dyDescent="0.25">
      <c r="A8" s="1"/>
      <c r="B8" s="59" t="s">
        <v>48</v>
      </c>
      <c r="C8" s="60" t="s">
        <v>49</v>
      </c>
      <c r="D8" s="51" t="s">
        <v>50</v>
      </c>
      <c r="E8" s="61">
        <f>'Tabela de Preços'!F7</f>
        <v>450</v>
      </c>
    </row>
    <row r="9" spans="1:5" ht="21.95" customHeight="1" x14ac:dyDescent="0.25">
      <c r="A9" s="1"/>
      <c r="B9" s="1"/>
      <c r="C9" s="1"/>
      <c r="D9" s="62" t="s">
        <v>51</v>
      </c>
      <c r="E9" s="63">
        <f>MIN(E5:E8)</f>
        <v>50</v>
      </c>
    </row>
    <row r="10" spans="1:5" ht="21.95" customHeight="1" x14ac:dyDescent="0.25">
      <c r="A10" s="1"/>
      <c r="B10" s="1"/>
      <c r="C10" s="1"/>
      <c r="D10" s="62" t="s">
        <v>52</v>
      </c>
      <c r="E10" s="63">
        <f>MAX(E5:E8)</f>
        <v>450</v>
      </c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</sheetData>
  <mergeCells count="1">
    <mergeCell ref="B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Tabela de Preços</vt:lpstr>
      <vt:lpstr>Detalhes dos Pacotes</vt:lpstr>
      <vt:lpstr>'Tabela de Preços'!Area_de_impressao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Stabeli</cp:lastModifiedBy>
  <dcterms:created xsi:type="dcterms:W3CDTF">2026-09-05T19:54:15Z</dcterms:created>
  <dcterms:modified xsi:type="dcterms:W3CDTF">2026-09-05T19:54:37Z</dcterms:modified>
</cp:coreProperties>
</file>